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Jan-2026" sheetId="2" state="visible" r:id="rId4"/>
    <sheet name="Feb-2026" sheetId="3" state="visible" r:id="rId5"/>
    <sheet name="Mar-2026" sheetId="4" state="visible" r:id="rId6"/>
    <sheet name="Apr-2026" sheetId="5" state="visible" r:id="rId7"/>
    <sheet name="May-2026" sheetId="6" state="visible" r:id="rId8"/>
    <sheet name="Jun-2026" sheetId="7" state="visible" r:id="rId9"/>
    <sheet name="Jul-2026" sheetId="8" state="visible" r:id="rId10"/>
    <sheet name="Aug-2026" sheetId="9" state="visible" r:id="rId11"/>
    <sheet name="Sep-2026" sheetId="10" state="visible" r:id="rId12"/>
    <sheet name="Oct-2026" sheetId="11" state="visible" r:id="rId13"/>
    <sheet name="Nov-2026" sheetId="12" state="visible" r:id="rId14"/>
    <sheet name="Dec-2026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<sst xmlns="http://schemas.openxmlformats.org/spreadsheetml/2006/main" count="494" uniqueCount="76">
  <si>
    <t xml:space="preserve">ESHCOL TECHNICAL SERVICES — ACCOUNTS DASHBOARD</t>
  </si>
  <si>
    <t xml:space="preserve">TRN: 105437736900003  |  info@eshcol.ae  |  +971 52 661 9941  |  www.eshcol.ae  |  Ruya Community Islamic Bank  |  IBAN: AE451323001421070000001</t>
  </si>
  <si>
    <t xml:space="preserve">TOTAL INVOICED</t>
  </si>
  <si>
    <t xml:space="preserve">TOTAL PAID</t>
  </si>
  <si>
    <t xml:space="preserve">TOTAL UNPAID</t>
  </si>
  <si>
    <t xml:space="preserve">TOTAL PENDING</t>
  </si>
  <si>
    <t xml:space="preserve">NO. OF INVOICES</t>
  </si>
  <si>
    <t xml:space="preserve">ℹ  KPI values above update automatically from the monthly sheets. Use the monthly sheets (e.g. Jan-2026) to enter or import invoice records.</t>
  </si>
  <si>
    <t xml:space="preserve">Month</t>
  </si>
  <si>
    <t xml:space="preserve">Invoices</t>
  </si>
  <si>
    <t xml:space="preserve">Total Invoiced (AED)</t>
  </si>
  <si>
    <t xml:space="preserve">Paid (AED)</t>
  </si>
  <si>
    <t xml:space="preserve">Unpaid (AED)</t>
  </si>
  <si>
    <t xml:space="preserve">Pending Balance (AED)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</si>
  <si>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</si>
  <si>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</si>
  <si>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</si>
  <si>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</si>
  <si>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</si>
  <si>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</si>
  <si>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</si>
  <si>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</si>
  <si>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</si>
  <si>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</si>
  <si>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</si>
  <si>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</si>
  <si>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ESHCOL TECHNICAL SERVICES — INVOICE LEDGER  |  JAN 2026</t>
  </si>
  <si>
    <t xml:space="preserve">TRN: 105437736900003  |  info@eshcol.ae  |  www.eshcoltechnical.com  |  +971 52 661 9941</t>
  </si>
  <si>
    <t xml:space="preserve">Invoice #</t>
  </si>
  <si>
    <t xml:space="preserve">Date</t>
  </si>
  <si>
    <t xml:space="preserve">Client Name</t>
  </si>
  <si>
    <t xml:space="preserve">Description</t>
  </si>
  <si>
    <t xml:space="preserve">Invoice Type</t>
  </si>
  <si>
    <t xml:space="preserve">% of Contract</t>
  </si>
  <si>
    <t xml:space="preserve">Contract Value</t>
  </si>
  <si>
    <t xml:space="preserve">Invoice Amount</t>
  </si>
  <si>
    <t xml:space="preserve">Down Pymt Recd</t>
  </si>
  <si>
    <t xml:space="preserve">IPC Amount</t>
  </si>
  <si>
    <t xml:space="preserve">Amount Paid</t>
  </si>
  <si>
    <t xml:space="preserve">Balance Due</t>
  </si>
  <si>
    <t xml:space="preserve">Due Date</t>
  </si>
  <si>
    <t xml:space="preserve">Status</t>
  </si>
  <si>
    <t xml:space="preserve">ETS-2026-119</t>
  </si>
  <si>
    <t xml:space="preserve">2026-09-01</t>
  </si>
  <si>
    <t xml:space="preserve">ABC Contracting LLC</t>
  </si>
  <si>
    <t xml:space="preserve">MEP Installation – Phase 1</t>
  </si>
  <si>
    <t xml:space="preserve">Standard</t>
  </si>
  <si>
    <t xml:space="preserve">2026-09-30</t>
  </si>
  <si>
    <t xml:space="preserve">PAID</t>
  </si>
  <si>
    <t xml:space="preserve">ETS-2026-120</t>
  </si>
  <si>
    <t xml:space="preserve">2026-09-05</t>
  </si>
  <si>
    <t xml:space="preserve">Dubai Properties Group</t>
  </si>
  <si>
    <t xml:space="preserve">HVAC Maintenance Contract</t>
  </si>
  <si>
    <t xml:space="preserve">Down Payment</t>
  </si>
  <si>
    <t xml:space="preserve">2026-10-05</t>
  </si>
  <si>
    <t xml:space="preserve">UNPAID</t>
  </si>
  <si>
    <t xml:space="preserve">ETS-2026-121</t>
  </si>
  <si>
    <t xml:space="preserve">2026-09-10</t>
  </si>
  <si>
    <t xml:space="preserve">Gulf Star Engineering</t>
  </si>
  <si>
    <t xml:space="preserve">Electrical Fit-out – Block C</t>
  </si>
  <si>
    <t xml:space="preserve">IPC</t>
  </si>
  <si>
    <t xml:space="preserve">2026-10-10</t>
  </si>
  <si>
    <t xml:space="preserve">PENDING</t>
  </si>
  <si>
    <t xml:space="preserve">MONTHLY TOTALS</t>
  </si>
  <si>
    <t xml:space="preserve">LEGEND:  Standard Invoice = full amount  |  Down Payment = % of contract upfront  |  IPC = Interim Payment Certificate (milestone-based %)  |  Balance Due = Invoice Amount − Amount Paid</t>
  </si>
  <si>
    <t xml:space="preserve">ESHCOL TECHNICAL SERVICES — INVOICE LEDGER  |  FEB 2026</t>
  </si>
  <si>
    <t xml:space="preserve">ESHCOL TECHNICAL SERVICES — INVOICE LEDGER  |  MAR 2026</t>
  </si>
  <si>
    <t xml:space="preserve">ESHCOL TECHNICAL SERVICES — INVOICE LEDGER  |  APR 2026</t>
  </si>
  <si>
    <t xml:space="preserve">ESHCOL TECHNICAL SERVICES — INVOICE LEDGER  |  MAY 2026</t>
  </si>
  <si>
    <t xml:space="preserve">ESHCOL TECHNICAL SERVICES — INVOICE LEDGER  |  JUN 2026</t>
  </si>
  <si>
    <t xml:space="preserve">ESHCOL TECHNICAL SERVICES — INVOICE LEDGER  |  JUL 2026</t>
  </si>
  <si>
    <t xml:space="preserve">ESHCOL TECHNICAL SERVICES — INVOICE LEDGER  |  AUG 2026</t>
  </si>
  <si>
    <t xml:space="preserve">ESHCOL TECHNICAL SERVICES — INVOICE LEDGER  |  SEP 2026</t>
  </si>
  <si>
    <t xml:space="preserve">ESHCOL TECHNICAL SERVICES — INVOICE LEDGER  |  OCT 2026</t>
  </si>
  <si>
    <t xml:space="preserve">ESHCOL TECHNICAL SERVICES — INVOICE LEDGER  |  NOV 2026</t>
  </si>
  <si>
    <t xml:space="preserve">ESHCOL TECHNICAL SERVICES — INVOICE LEDGER  |  DEC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</si>
</sst>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AED&quot;"/>
    <numFmt numFmtId="166" formatCode="0"/>
    <numFmt numFmtId="167" formatCode="General"/>
    <numFmt numFmtId="168" formatCode="#,##0.00"/>
    <numFmt numFmtId="169" formatCode="dd\-mmm\-yyyy"/>
    <numFmt numFmtId="170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E3A5C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857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2E3A5C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E3A5C"/>
        <bgColor rgb="FF333399"/>
      </patternFill>
    </fill>
    <fill>
      <patternFill patternType="solid">
        <fgColor rgb="FF27AE60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39C12"/>
        <bgColor rgb="FFFFCC00"/>
      </patternFill>
    </fill>
    <fill>
      <patternFill patternType="solid">
        <fgColor rgb="FFE8572A"/>
        <bgColor rgb="FFC0392B"/>
      </patternFill>
    </fill>
    <fill>
      <patternFill patternType="solid">
        <fgColor rgb="FFF7F7F7"/>
        <bgColor rgb="FFFEF9E7"/>
      </patternFill>
    </fill>
    <fill>
      <patternFill patternType="solid">
        <fgColor rgb="FFEBF5FB"/>
        <bgColor rgb="FFE8F8F0"/>
      </patternFill>
    </fill>
    <fill>
      <patternFill patternType="solid">
        <fgColor rgb="FFFFFFFF"/>
        <bgColor rgb="FFF7F7F7"/>
      </patternFill>
    </fill>
    <fill>
      <patternFill patternType="solid">
        <fgColor rgb="FFE8F8F0"/>
        <bgColor rgb="FFEBF5FB"/>
      </patternFill>
    </fill>
    <fill>
      <patternFill patternType="solid">
        <fgColor rgb="FFFEF9E7"/>
        <bgColor rgb="FFF7F7F7"/>
      </patternFill>
    </fill>
    <fill>
      <patternFill patternType="solid">
        <fgColor rgb="FFFDECEA"/>
        <bgColor rgb="FFFEF0EB"/>
      </patternFill>
    </fill>
    <fill>
      <patternFill patternType="solid">
        <fgColor rgb="FFFEF0EB"/>
        <bgColor rgb="FFFDEC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8F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7F7F7"/>
      <rgbColor rgb="FFFEF0EB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39C12"/>
      <rgbColor rgb="FFE8572A"/>
      <rgbColor rgb="FF666699"/>
      <rgbColor rgb="FFAAAAAA"/>
      <rgbColor rgb="FF003366"/>
      <rgbColor rgb="FF27AE60"/>
      <rgbColor rgb="FF003300"/>
      <rgbColor rgb="FF1A1A2E"/>
      <rgbColor rgb="FFC0392B"/>
      <rgbColor rgb="FF993366"/>
      <rgbColor rgb="FF333399"/>
      <rgbColor rgb="FF2E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18"/>
    <col collapsed="false" customWidth="true" hidden="false" outlineLevel="0" max="8" min="8" style="1" width="3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7.5" hidden="false" customHeight="true" outlineLevel="0" collapsed="false"/>
    <row r="5" customFormat="false" ht="13.5" hidden="false" customHeight="true" outlineLevel="0" collapsed="false">
      <c r="B5" s="4" t="s">
        <v>2</v>
      </c>
      <c r="C5" s="5" t="s">
        <v>3</v>
      </c>
      <c r="D5" s="6" t="s">
        <v>4</v>
      </c>
      <c r="E5" s="7" t="s">
        <v>5</v>
      </c>
      <c r="F5" s="8" t="s">
        <v>6</v>
      </c>
    </row>
    <row r="6" customFormat="false" ht="27.75" hidden="false" customHeight="true" outlineLevel="0" collapsed="false">
      <c r="B6" s="9" t="n">
        <f aca="false">SUM(D12:D23)</f>
        <v>5400000</v>
      </c>
      <c r="C6" s="9" t="n">
        <f aca="false">SUM(E12:E23)</f>
        <v>0</v>
      </c>
      <c r="D6" s="9" t="n">
        <f aca="false">SUM(F12:F23)</f>
        <v>0</v>
      </c>
      <c r="E6" s="9" t="n">
        <f aca="false">SUM(G12:G23)</f>
        <v>0</v>
      </c>
      <c r="F6" s="10" t="n">
        <f aca="false">SUM(C12:C23)</f>
        <v>-11808</v>
      </c>
    </row>
    <row r="7" customFormat="false" ht="21.75" hidden="false" customHeight="true" outlineLevel="0" collapsed="false"/>
    <row r="8" customFormat="false" ht="7.5" hidden="false" customHeight="true" outlineLevel="0" collapsed="false"/>
    <row r="9" customFormat="false" ht="15.75" hidden="false" customHeight="true" outlineLevel="0" collapsed="false">
      <c r="B9" s="11" t="s">
        <v>7</v>
      </c>
      <c r="C9" s="11"/>
      <c r="D9" s="11"/>
      <c r="E9" s="11"/>
      <c r="F9" s="11"/>
      <c r="G9" s="11"/>
    </row>
    <row r="11" customFormat="false" ht="19.5" hidden="false" customHeight="true" outlineLevel="0" collapsed="false"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  <c r="G11" s="13" t="s">
        <v>13</v>
      </c>
    </row>
    <row r="12" customFormat="false" ht="15.75" hidden="false" customHeight="true" outlineLevel="0" collapsed="false">
      <c r="B12" s="14" t="s">
        <v>14</v>
      </c>
      <c r="C12" s="15" t="n">
        <f aca="false">IFERROR(COUNTA('Jan-2026'!B5:B1000)-COUNTIF('Jan-2026'!B5:B1000,""),0)</f>
        <v>-984</v>
      </c>
      <c r="D12" s="16" t="n">
        <f aca="false">IFERROR(SUMIF('Jan-2026'!B5:B1000,"&lt;&gt;",'Jan-2026'!H5:H1000),0)</f>
        <v>450000</v>
      </c>
      <c r="E12" s="16" t="n">
        <f aca="false">IFERROR(SUMIF('Jan-2026'!N5:N1000,"PAID",'Jan-2026'!H5:H1000),0)</f>
        <v>0</v>
      </c>
      <c r="F12" s="16" t="n">
        <f aca="false">IFERROR(SUMIF('Jan-2026'!N5:N1000,"UNPAID",'Jan-2026'!H5:H1000),0)</f>
        <v>0</v>
      </c>
      <c r="G12" s="16" t="n">
        <f aca="false">IFERROR(SUMIF('Jan-2026'!N5:N1000,"PENDING",'Jan-2026'!H5:H1000),0)</f>
        <v>0</v>
      </c>
    </row>
    <row r="13" customFormat="false" ht="15.75" hidden="false" customHeight="true" outlineLevel="0" collapsed="false">
      <c r="B13" s="17" t="s">
        <v>15</v>
      </c>
      <c r="C13" s="18" t="n">
        <f aca="false">IFERROR(COUNTA('Feb-2026'!B5:B1000)-COUNTIF('Feb-2026'!B5:B1000,""),0)</f>
        <v>-984</v>
      </c>
      <c r="D13" s="19" t="n">
        <f aca="false">IFERROR(SUMIF('Feb-2026'!B5:B1000,"&lt;&gt;",'Feb-2026'!H5:H1000),0)</f>
        <v>450000</v>
      </c>
      <c r="E13" s="19" t="n">
        <f aca="false">IFERROR(SUMIF('Feb-2026'!N5:N1000,"PAID",'Feb-2026'!H5:H1000),0)</f>
        <v>0</v>
      </c>
      <c r="F13" s="19" t="n">
        <f aca="false">IFERROR(SUMIF('Feb-2026'!N5:N1000,"UNPAID",'Feb-2026'!H5:H1000),0)</f>
        <v>0</v>
      </c>
      <c r="G13" s="19" t="n">
        <f aca="false">IFERROR(SUMIF('Feb-2026'!N5:N1000,"PENDING",'Feb-2026'!H5:H1000),0)</f>
        <v>0</v>
      </c>
    </row>
    <row r="14" customFormat="false" ht="15.75" hidden="false" customHeight="true" outlineLevel="0" collapsed="false">
      <c r="B14" s="14" t="s">
        <v>16</v>
      </c>
      <c r="C14" s="15" t="n">
        <f aca="false">IFERROR(COUNTA('Mar-2026'!B5:B1000)-COUNTIF('Mar-2026'!B5:B1000,""),0)</f>
        <v>-984</v>
      </c>
      <c r="D14" s="16" t="n">
        <f aca="false">IFERROR(SUMIF('Mar-2026'!B5:B1000,"&lt;&gt;",'Mar-2026'!H5:H1000),0)</f>
        <v>450000</v>
      </c>
      <c r="E14" s="16" t="n">
        <f aca="false">IFERROR(SUMIF('Mar-2026'!N5:N1000,"PAID",'Mar-2026'!H5:H1000),0)</f>
        <v>0</v>
      </c>
      <c r="F14" s="16" t="n">
        <f aca="false">IFERROR(SUMIF('Mar-2026'!N5:N1000,"UNPAID",'Mar-2026'!H5:H1000),0)</f>
        <v>0</v>
      </c>
      <c r="G14" s="16" t="n">
        <f aca="false">IFERROR(SUMIF('Mar-2026'!N5:N1000,"PENDING",'Mar-2026'!H5:H1000),0)</f>
        <v>0</v>
      </c>
    </row>
    <row r="15" customFormat="false" ht="15.75" hidden="false" customHeight="true" outlineLevel="0" collapsed="false">
      <c r="B15" s="17" t="s">
        <v>17</v>
      </c>
      <c r="C15" s="18" t="n">
        <f aca="false">IFERROR(COUNTA('Apr-2026'!B5:B1000)-COUNTIF('Apr-2026'!B5:B1000,""),0)</f>
        <v>-984</v>
      </c>
      <c r="D15" s="19" t="n">
        <f aca="false">IFERROR(SUMIF('Apr-2026'!B5:B1000,"&lt;&gt;",'Apr-2026'!H5:H1000),0)</f>
        <v>450000</v>
      </c>
      <c r="E15" s="19" t="n">
        <f aca="false">IFERROR(SUMIF('Apr-2026'!N5:N1000,"PAID",'Apr-2026'!H5:H1000),0)</f>
        <v>0</v>
      </c>
      <c r="F15" s="19" t="n">
        <f aca="false">IFERROR(SUMIF('Apr-2026'!N5:N1000,"UNPAID",'Apr-2026'!H5:H1000),0)</f>
        <v>0</v>
      </c>
      <c r="G15" s="19" t="n">
        <f aca="false">IFERROR(SUMIF('Apr-2026'!N5:N1000,"PENDING",'Apr-2026'!H5:H1000),0)</f>
        <v>0</v>
      </c>
    </row>
    <row r="16" customFormat="false" ht="15.75" hidden="false" customHeight="true" outlineLevel="0" collapsed="false">
      <c r="B16" s="14" t="s">
        <v>18</v>
      </c>
      <c r="C16" s="15" t="n">
        <f aca="false">IFERROR(COUNTA('May-2026'!B5:B1000)-COUNTIF('May-2026'!B5:B1000,""),0)</f>
        <v>-984</v>
      </c>
      <c r="D16" s="16" t="n">
        <f aca="false">IFERROR(SUMIF('May-2026'!B5:B1000,"&lt;&gt;",'May-2026'!H5:H1000),0)</f>
        <v>450000</v>
      </c>
      <c r="E16" s="16" t="n">
        <f aca="false">IFERROR(SUMIF('May-2026'!N5:N1000,"PAID",'May-2026'!H5:H1000),0)</f>
        <v>0</v>
      </c>
      <c r="F16" s="16" t="n">
        <f aca="false">IFERROR(SUMIF('May-2026'!N5:N1000,"UNPAID",'May-2026'!H5:H1000),0)</f>
        <v>0</v>
      </c>
      <c r="G16" s="16" t="n">
        <f aca="false">IFERROR(SUMIF('May-2026'!N5:N1000,"PENDING",'May-2026'!H5:H1000),0)</f>
        <v>0</v>
      </c>
    </row>
    <row r="17" customFormat="false" ht="15.75" hidden="false" customHeight="true" outlineLevel="0" collapsed="false">
      <c r="B17" s="17" t="s">
        <v>19</v>
      </c>
      <c r="C17" s="18" t="n">
        <f aca="false">IFERROR(COUNTA('Jun-2026'!B5:B1000)-COUNTIF('Jun-2026'!B5:B1000,""),0)</f>
        <v>-984</v>
      </c>
      <c r="D17" s="19" t="n">
        <f aca="false">IFERROR(SUMIF('Jun-2026'!B5:B1000,"&lt;&gt;",'Jun-2026'!H5:H1000),0)</f>
        <v>450000</v>
      </c>
      <c r="E17" s="19" t="n">
        <f aca="false">IFERROR(SUMIF('Jun-2026'!N5:N1000,"PAID",'Jun-2026'!H5:H1000),0)</f>
        <v>0</v>
      </c>
      <c r="F17" s="19" t="n">
        <f aca="false">IFERROR(SUMIF('Jun-2026'!N5:N1000,"UNPAID",'Jun-2026'!H5:H1000),0)</f>
        <v>0</v>
      </c>
      <c r="G17" s="19" t="n">
        <f aca="false">IFERROR(SUMIF('Jun-2026'!N5:N1000,"PENDING",'Jun-2026'!H5:H1000),0)</f>
        <v>0</v>
      </c>
    </row>
    <row r="18" customFormat="false" ht="15.75" hidden="false" customHeight="true" outlineLevel="0" collapsed="false">
      <c r="B18" s="14" t="s">
        <v>20</v>
      </c>
      <c r="C18" s="15" t="n">
        <f aca="false">IFERROR(COUNTA('Jul-2026'!B5:B1000)-COUNTIF('Jul-2026'!B5:B1000,""),0)</f>
        <v>-984</v>
      </c>
      <c r="D18" s="16" t="n">
        <f aca="false">IFERROR(SUMIF('Jul-2026'!B5:B1000,"&lt;&gt;",'Jul-2026'!H5:H1000),0)</f>
        <v>450000</v>
      </c>
      <c r="E18" s="16" t="n">
        <f aca="false">IFERROR(SUMIF('Jul-2026'!N5:N1000,"PAID",'Jul-2026'!H5:H1000),0)</f>
        <v>0</v>
      </c>
      <c r="F18" s="16" t="n">
        <f aca="false">IFERROR(SUMIF('Jul-2026'!N5:N1000,"UNPAID",'Jul-2026'!H5:H1000),0)</f>
        <v>0</v>
      </c>
      <c r="G18" s="16" t="n">
        <f aca="false">IFERROR(SUMIF('Jul-2026'!N5:N1000,"PENDING",'Jul-2026'!H5:H1000),0)</f>
        <v>0</v>
      </c>
    </row>
    <row r="19" customFormat="false" ht="15.75" hidden="false" customHeight="true" outlineLevel="0" collapsed="false">
      <c r="B19" s="17" t="s">
        <v>21</v>
      </c>
      <c r="C19" s="18" t="n">
        <f aca="false">IFERROR(COUNTA('Aug-2026'!B5:B1000)-COUNTIF('Aug-2026'!B5:B1000,""),0)</f>
        <v>-984</v>
      </c>
      <c r="D19" s="19" t="n">
        <f aca="false">IFERROR(SUMIF('Aug-2026'!B5:B1000,"&lt;&gt;",'Aug-2026'!H5:H1000),0)</f>
        <v>450000</v>
      </c>
      <c r="E19" s="19" t="n">
        <f aca="false">IFERROR(SUMIF('Aug-2026'!N5:N1000,"PAID",'Aug-2026'!H5:H1000),0)</f>
        <v>0</v>
      </c>
      <c r="F19" s="19" t="n">
        <f aca="false">IFERROR(SUMIF('Aug-2026'!N5:N1000,"UNPAID",'Aug-2026'!H5:H1000),0)</f>
        <v>0</v>
      </c>
      <c r="G19" s="19" t="n">
        <f aca="false">IFERROR(SUMIF('Aug-2026'!N5:N1000,"PENDING",'Aug-2026'!H5:H1000),0)</f>
        <v>0</v>
      </c>
    </row>
    <row r="20" customFormat="false" ht="15.75" hidden="false" customHeight="true" outlineLevel="0" collapsed="false">
      <c r="B20" s="14" t="s">
        <v>22</v>
      </c>
      <c r="C20" s="15" t="n">
        <f aca="false">IFERROR(COUNTA('Sep-2026'!B5:B1000)-COUNTIF('Sep-2026'!B5:B1000,""),0)</f>
        <v>-984</v>
      </c>
      <c r="D20" s="16" t="n">
        <f aca="false">IFERROR(SUMIF('Sep-2026'!B5:B1000,"&lt;&gt;",'Sep-2026'!H5:H1000),0)</f>
        <v>450000</v>
      </c>
      <c r="E20" s="16" t="n">
        <f aca="false">IFERROR(SUMIF('Sep-2026'!N5:N1000,"PAID",'Sep-2026'!H5:H1000),0)</f>
        <v>0</v>
      </c>
      <c r="F20" s="16" t="n">
        <f aca="false">IFERROR(SUMIF('Sep-2026'!N5:N1000,"UNPAID",'Sep-2026'!H5:H1000),0)</f>
        <v>0</v>
      </c>
      <c r="G20" s="16" t="n">
        <f aca="false">IFERROR(SUMIF('Sep-2026'!N5:N1000,"PENDING",'Sep-2026'!H5:H1000),0)</f>
        <v>0</v>
      </c>
    </row>
    <row r="21" customFormat="false" ht="15.75" hidden="false" customHeight="true" outlineLevel="0" collapsed="false">
      <c r="B21" s="17" t="s">
        <v>23</v>
      </c>
      <c r="C21" s="18" t="n">
        <f aca="false">IFERROR(COUNTA('Oct-2026'!B5:B1000)-COUNTIF('Oct-2026'!B5:B1000,""),0)</f>
        <v>-984</v>
      </c>
      <c r="D21" s="19" t="n">
        <f aca="false">IFERROR(SUMIF('Oct-2026'!B5:B1000,"&lt;&gt;",'Oct-2026'!H5:H1000),0)</f>
        <v>450000</v>
      </c>
      <c r="E21" s="19" t="n">
        <f aca="false">IFERROR(SUMIF('Oct-2026'!N5:N1000,"PAID",'Oct-2026'!H5:H1000),0)</f>
        <v>0</v>
      </c>
      <c r="F21" s="19" t="n">
        <f aca="false">IFERROR(SUMIF('Oct-2026'!N5:N1000,"UNPAID",'Oct-2026'!H5:H1000),0)</f>
        <v>0</v>
      </c>
      <c r="G21" s="19" t="n">
        <f aca="false">IFERROR(SUMIF('Oct-2026'!N5:N1000,"PENDING",'Oct-2026'!H5:H1000),0)</f>
        <v>0</v>
      </c>
    </row>
    <row r="22" customFormat="false" ht="15.75" hidden="false" customHeight="true" outlineLevel="0" collapsed="false">
      <c r="B22" s="14" t="s">
        <v>24</v>
      </c>
      <c r="C22" s="15" t="n">
        <f aca="false">IFERROR(COUNTA('Nov-2026'!B5:B1000)-COUNTIF('Nov-2026'!B5:B1000,""),0)</f>
        <v>-984</v>
      </c>
      <c r="D22" s="16" t="n">
        <f aca="false">IFERROR(SUMIF('Nov-2026'!B5:B1000,"&lt;&gt;",'Nov-2026'!H5:H1000),0)</f>
        <v>450000</v>
      </c>
      <c r="E22" s="16" t="n">
        <f aca="false">IFERROR(SUMIF('Nov-2026'!N5:N1000,"PAID",'Nov-2026'!H5:H1000),0)</f>
        <v>0</v>
      </c>
      <c r="F22" s="16" t="n">
        <f aca="false">IFERROR(SUMIF('Nov-2026'!N5:N1000,"UNPAID",'Nov-2026'!H5:H1000),0)</f>
        <v>0</v>
      </c>
      <c r="G22" s="16" t="n">
        <f aca="false">IFERROR(SUMIF('Nov-2026'!N5:N1000,"PENDING",'Nov-2026'!H5:H1000),0)</f>
        <v>0</v>
      </c>
    </row>
    <row r="23" customFormat="false" ht="15.75" hidden="false" customHeight="true" outlineLevel="0" collapsed="false">
      <c r="B23" s="17" t="s">
        <v>25</v>
      </c>
      <c r="C23" s="18" t="n">
        <f aca="false">IFERROR(COUNTA('Dec-2026'!B5:B1000)-COUNTIF('Dec-2026'!B5:B1000,""),0)</f>
        <v>-984</v>
      </c>
      <c r="D23" s="19" t="n">
        <f aca="false">IFERROR(SUMIF('Dec-2026'!B5:B1000,"&lt;&gt;",'Dec-2026'!H5:H1000),0)</f>
        <v>450000</v>
      </c>
      <c r="E23" s="19" t="n">
        <f aca="false">IFERROR(SUMIF('Dec-2026'!N5:N1000,"PAID",'Dec-2026'!H5:H1000),0)</f>
        <v>0</v>
      </c>
      <c r="F23" s="19" t="n">
        <f aca="false">IFERROR(SUMIF('Dec-2026'!N5:N1000,"UNPAID",'Dec-2026'!H5:H1000),0)</f>
        <v>0</v>
      </c>
      <c r="G23" s="19" t="n">
        <f aca="false">IFERROR(SUMIF('Dec-2026'!N5:N1000,"PENDING",'Dec-2026'!H5:H1000),0)</f>
        <v>0</v>
      </c>
    </row>
  </sheetData>
  <mergeCells count="3">
    <mergeCell ref="B2:G2"/>
    <mergeCell ref="B3:G3"/>
    <mergeCell ref="B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26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65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66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67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68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69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70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71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72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73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74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0" t="s">
        <v>75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</row>
    <row r="5" customFormat="false" ht="18" hidden="false" customHeight="true" outlineLevel="0" collapsed="false">
      <c r="B5" s="17" t="s">
        <v>42</v>
      </c>
      <c r="C5" s="22" t="s">
        <v>43</v>
      </c>
      <c r="D5" s="23" t="s">
        <v>44</v>
      </c>
      <c r="E5" s="24" t="s">
        <v>45</v>
      </c>
      <c r="F5" s="25" t="s">
        <v>46</v>
      </c>
      <c r="G5" s="26" t="n">
        <v>1</v>
      </c>
      <c r="H5" s="19" t="n">
        <v>25000</v>
      </c>
      <c r="I5" s="19" t="n">
        <v>25000</v>
      </c>
      <c r="J5" s="19" t="n">
        <v>0</v>
      </c>
      <c r="K5" s="19" t="n">
        <v>0</v>
      </c>
      <c r="L5" s="19" t="n">
        <v>25000</v>
      </c>
      <c r="M5" s="27" t="n">
        <f aca="false">I5-L5</f>
        <v>0</v>
      </c>
      <c r="N5" s="22" t="s">
        <v>47</v>
      </c>
      <c r="O5" s="28" t="s">
        <v>48</v>
      </c>
    </row>
    <row r="6" customFormat="false" ht="18" hidden="false" customHeight="true" outlineLevel="0" collapsed="false">
      <c r="B6" s="14" t="s">
        <v>49</v>
      </c>
      <c r="C6" s="29" t="s">
        <v>50</v>
      </c>
      <c r="D6" s="30" t="s">
        <v>51</v>
      </c>
      <c r="E6" s="31" t="s">
        <v>52</v>
      </c>
      <c r="F6" s="32" t="s">
        <v>53</v>
      </c>
      <c r="G6" s="33" t="n">
        <v>0.3</v>
      </c>
      <c r="H6" s="16" t="n">
        <v>80000</v>
      </c>
      <c r="I6" s="16" t="n">
        <v>24000</v>
      </c>
      <c r="J6" s="16" t="n">
        <v>24000</v>
      </c>
      <c r="K6" s="16" t="n">
        <v>0</v>
      </c>
      <c r="L6" s="16" t="n">
        <v>0</v>
      </c>
      <c r="M6" s="34" t="n">
        <f aca="false">I6-L6</f>
        <v>24000</v>
      </c>
      <c r="N6" s="29" t="s">
        <v>54</v>
      </c>
      <c r="O6" s="35" t="s">
        <v>55</v>
      </c>
    </row>
    <row r="7" customFormat="false" ht="18" hidden="false" customHeight="true" outlineLevel="0" collapsed="false">
      <c r="B7" s="17" t="s">
        <v>56</v>
      </c>
      <c r="C7" s="22" t="s">
        <v>57</v>
      </c>
      <c r="D7" s="23" t="s">
        <v>58</v>
      </c>
      <c r="E7" s="24" t="s">
        <v>59</v>
      </c>
      <c r="F7" s="36" t="s">
        <v>60</v>
      </c>
      <c r="G7" s="26" t="n">
        <v>0.4</v>
      </c>
      <c r="H7" s="19" t="n">
        <v>120000</v>
      </c>
      <c r="I7" s="19" t="n">
        <v>48000</v>
      </c>
      <c r="J7" s="19" t="n">
        <v>0</v>
      </c>
      <c r="K7" s="19" t="n">
        <v>48000</v>
      </c>
      <c r="L7" s="19" t="n">
        <v>20000</v>
      </c>
      <c r="M7" s="34" t="n">
        <f aca="false">I7-L7</f>
        <v>28000</v>
      </c>
      <c r="N7" s="22" t="s">
        <v>61</v>
      </c>
      <c r="O7" s="32" t="s">
        <v>62</v>
      </c>
    </row>
    <row r="8" customFormat="false" ht="19.5" hidden="false" customHeight="true" outlineLevel="0" collapsed="false">
      <c r="B8" s="37" t="s">
        <v>63</v>
      </c>
      <c r="C8" s="37"/>
      <c r="D8" s="37"/>
      <c r="E8" s="37"/>
      <c r="F8" s="37"/>
      <c r="G8" s="37"/>
      <c r="H8" s="38" t="n">
        <f aca="false">SUM(H5:H7)</f>
        <v>225000</v>
      </c>
      <c r="I8" s="38" t="n">
        <f aca="false">SUM(I5:I7)</f>
        <v>97000</v>
      </c>
      <c r="J8" s="38" t="n">
        <f aca="false">SUM(J5:J7)</f>
        <v>24000</v>
      </c>
      <c r="K8" s="38" t="n">
        <f aca="false">SUM(K5:K7)</f>
        <v>48000</v>
      </c>
      <c r="L8" s="38" t="n">
        <f aca="false">SUM(L5:L7)</f>
        <v>45000</v>
      </c>
      <c r="M8" s="38" t="n">
        <f aca="false">SUM(M5:M7)</f>
        <v>52000</v>
      </c>
    </row>
    <row r="9" customFormat="false" ht="15.75" hidden="false" customHeight="true" outlineLevel="0" collapsed="false">
      <c r="B9" s="39" t="str">
        <f aca="false">COUNTIF(O5:O7,"PAID")&amp;" PAID  |  "&amp;COUNTIF(O5:O7,"UNPAID")&amp;" UNPAID  |  "&amp;COUNTIF(O5:O7,"PENDING")&amp;" PENDING"</f>
        <v>1 PAID  |  1 UNPAID  |  1 PENDING</v>
      </c>
      <c r="C9" s="39"/>
      <c r="D9" s="39"/>
      <c r="E9" s="39"/>
      <c r="F9" s="39"/>
      <c r="G9" s="39"/>
    </row>
    <row r="11" customFormat="false" ht="15" hidden="false" customHeight="true" outlineLevel="0" collapsed="false">
      <c r="B11" s="40" t="s">
        <v>64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</sheetData>
  <mergeCells count="5">
    <mergeCell ref="B2:O2"/>
    <mergeCell ref="B3:O3"/>
    <mergeCell ref="B8:G8"/>
    <mergeCell ref="B9:G9"/>
    <mergeCell ref="B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2026-09-08T16:30:17Z</dcterms:created>
  <dc:creator>openpyxl</dc:creator>
  <dc:description/>
  <dc:language>en-US</dc:language>
  <cp:lastModifiedBy/>
  <dcterms:modified xsi:type="dcterms:W3CDTF">2026-09-08T17:17:08Z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